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gus-my.sharepoint.com/personal/gladislau_kpmg_com/Documents/"/>
    </mc:Choice>
  </mc:AlternateContent>
  <xr:revisionPtr revIDLastSave="78" documentId="8_{BA7C18B0-A073-4E49-98D8-240D410E8F50}" xr6:coauthVersionLast="47" xr6:coauthVersionMax="47" xr10:uidLastSave="{F0F4C71B-65D5-43B1-956E-1AC00DD77F6B}"/>
  <bookViews>
    <workbookView xWindow="-110" yWindow="-110" windowWidth="19420" windowHeight="11500" xr2:uid="{D488F085-00DE-48BA-A59E-030F4B4341EC}"/>
  </bookViews>
  <sheets>
    <sheet name="Sample Summary" sheetId="1" r:id="rId1"/>
    <sheet name="Attributes to tes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3" i="1"/>
  <c r="M4" i="1"/>
  <c r="M5" i="1"/>
  <c r="M6" i="1"/>
  <c r="M3" i="1"/>
</calcChain>
</file>

<file path=xl/sharedStrings.xml><?xml version="1.0" encoding="utf-8"?>
<sst xmlns="http://schemas.openxmlformats.org/spreadsheetml/2006/main" count="54" uniqueCount="40">
  <si>
    <t>rpID</t>
  </si>
  <si>
    <t>CollateralSynonymValue</t>
  </si>
  <si>
    <t>CobDate</t>
  </si>
  <si>
    <t>SourceRefID</t>
  </si>
  <si>
    <t xml:space="preserve">Transaction Type </t>
  </si>
  <si>
    <t>gsle</t>
  </si>
  <si>
    <t>gsleid</t>
  </si>
  <si>
    <t>mtm</t>
  </si>
  <si>
    <t>tradeDate</t>
  </si>
  <si>
    <t>expirationdate</t>
  </si>
  <si>
    <t xml:space="preserve">securiyName </t>
  </si>
  <si>
    <t>price</t>
  </si>
  <si>
    <t>fxRate</t>
  </si>
  <si>
    <t xml:space="preserve">nativequanity </t>
  </si>
  <si>
    <t xml:space="preserve">nativeNotional </t>
  </si>
  <si>
    <t>nativecurrency</t>
  </si>
  <si>
    <t>tobID</t>
  </si>
  <si>
    <t>UnderlierCusip</t>
  </si>
  <si>
    <t>05675M2J2</t>
  </si>
  <si>
    <t>LOAN-3359</t>
  </si>
  <si>
    <t>FI Loan-CASH</t>
  </si>
  <si>
    <t>GSTR</t>
  </si>
  <si>
    <t>SEC 367124366</t>
  </si>
  <si>
    <t>USD</t>
  </si>
  <si>
    <t>05675M2L2</t>
  </si>
  <si>
    <t>Atrributes to test</t>
  </si>
  <si>
    <t>LOAN-3362</t>
  </si>
  <si>
    <t>05675M2J5</t>
  </si>
  <si>
    <t>GSL</t>
  </si>
  <si>
    <t>LOAN-3363</t>
  </si>
  <si>
    <t>LOAN-3364</t>
  </si>
  <si>
    <t>LOAN-3365</t>
  </si>
  <si>
    <t>05675M2J6</t>
  </si>
  <si>
    <t>05675M2J7</t>
  </si>
  <si>
    <t>05675M2J8</t>
  </si>
  <si>
    <t>SEC 367124360</t>
  </si>
  <si>
    <t>SEC 367124645</t>
  </si>
  <si>
    <t>SEC 876124366</t>
  </si>
  <si>
    <t>SEC 835824366</t>
  </si>
  <si>
    <t xml:space="preserve">Sample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</si>
</sst>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pmgus-my.sharepoint.com/personal/gladislau_kpmg_com/Documents/Loan%20Activity%20Report_synthetic.xlsx" TargetMode="External"/><Relationship Id="rId1" Type="http://schemas.openxmlformats.org/officeDocument/2006/relationships/externalLinkPath" Target="Loan%20Activity%20Report_synthe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n Activity Report"/>
    </sheetNames>
    <sheetDataSet>
      <sheetData sheetId="0">
        <row r="6">
          <cell r="C6" t="str">
            <v>Loan Reference Number</v>
          </cell>
          <cell r="O6" t="str">
            <v>Shares</v>
          </cell>
          <cell r="P6" t="str">
            <v>USD Market Price</v>
          </cell>
        </row>
        <row r="7">
          <cell r="C7" t="str">
            <v>LOAN-3420</v>
          </cell>
          <cell r="O7">
            <v>200000</v>
          </cell>
          <cell r="P7">
            <v>1.135929</v>
          </cell>
        </row>
        <row r="8">
          <cell r="C8" t="str">
            <v>LOAN-3362</v>
          </cell>
          <cell r="O8">
            <v>200000</v>
          </cell>
          <cell r="P8">
            <v>1.124822</v>
          </cell>
        </row>
        <row r="9">
          <cell r="C9" t="str">
            <v>LOAN-3384</v>
          </cell>
          <cell r="O9">
            <v>200000</v>
          </cell>
          <cell r="P9">
            <v>1.0952809999999999</v>
          </cell>
        </row>
        <row r="10">
          <cell r="C10" t="str">
            <v>LOAN-3450</v>
          </cell>
          <cell r="O10">
            <v>200000</v>
          </cell>
          <cell r="P10">
            <v>1.0595460000000001</v>
          </cell>
        </row>
        <row r="11">
          <cell r="C11" t="str">
            <v>LOAN-3399</v>
          </cell>
          <cell r="O11">
            <v>200000</v>
          </cell>
          <cell r="P11">
            <v>0.99889099999999997</v>
          </cell>
        </row>
        <row r="12">
          <cell r="C12" t="str">
            <v>LOAN-3421</v>
          </cell>
          <cell r="O12">
            <v>200000</v>
          </cell>
          <cell r="P12">
            <v>0.99566299999999996</v>
          </cell>
        </row>
        <row r="13">
          <cell r="C13" t="str">
            <v>LOAN-3391</v>
          </cell>
          <cell r="O13">
            <v>200000</v>
          </cell>
          <cell r="P13">
            <v>0.99389700000000003</v>
          </cell>
        </row>
        <row r="14">
          <cell r="C14" t="str">
            <v>LOAN-3386</v>
          </cell>
          <cell r="O14">
            <v>200000</v>
          </cell>
          <cell r="P14">
            <v>0.99104000000000003</v>
          </cell>
        </row>
        <row r="15">
          <cell r="C15" t="str">
            <v>LOAN-3417</v>
          </cell>
          <cell r="O15">
            <v>200000</v>
          </cell>
          <cell r="P15">
            <v>0.92841099999999999</v>
          </cell>
        </row>
        <row r="16">
          <cell r="C16" t="str">
            <v>LOAN-3449</v>
          </cell>
          <cell r="O16">
            <v>200000</v>
          </cell>
          <cell r="P16">
            <v>0.90541099999999997</v>
          </cell>
        </row>
        <row r="17">
          <cell r="C17" t="str">
            <v>LOAN-3398</v>
          </cell>
          <cell r="O17">
            <v>200000</v>
          </cell>
          <cell r="P17">
            <v>0.89369900000000002</v>
          </cell>
        </row>
        <row r="18">
          <cell r="C18" t="str">
            <v>LOAN-3387</v>
          </cell>
          <cell r="O18">
            <v>150000</v>
          </cell>
          <cell r="P18">
            <v>1.1825399999999999</v>
          </cell>
        </row>
        <row r="19">
          <cell r="C19" t="str">
            <v>LOAN-3445</v>
          </cell>
          <cell r="O19">
            <v>150000</v>
          </cell>
          <cell r="P19">
            <v>1.18068</v>
          </cell>
        </row>
        <row r="20">
          <cell r="C20" t="str">
            <v>LOAN-3365</v>
          </cell>
          <cell r="O20">
            <v>200000</v>
          </cell>
          <cell r="P20">
            <v>0.86680500000000005</v>
          </cell>
        </row>
        <row r="21">
          <cell r="C21" t="str">
            <v>LOAN-3404</v>
          </cell>
          <cell r="O21">
            <v>200000</v>
          </cell>
          <cell r="P21">
            <v>0.84991499999999998</v>
          </cell>
        </row>
        <row r="22">
          <cell r="C22" t="str">
            <v>LOAN-3440</v>
          </cell>
          <cell r="O22">
            <v>200000</v>
          </cell>
          <cell r="P22">
            <v>0.83172900000000005</v>
          </cell>
        </row>
        <row r="23">
          <cell r="C23" t="str">
            <v>LOAN-3361</v>
          </cell>
          <cell r="O23">
            <v>200000</v>
          </cell>
          <cell r="P23">
            <v>0.82261399999999996</v>
          </cell>
        </row>
        <row r="24">
          <cell r="C24" t="str">
            <v>LOAN-3379</v>
          </cell>
          <cell r="O24">
            <v>200000</v>
          </cell>
          <cell r="P24">
            <v>0.79135</v>
          </cell>
        </row>
        <row r="25">
          <cell r="C25" t="str">
            <v>LOAN-3457</v>
          </cell>
          <cell r="O25">
            <v>200000</v>
          </cell>
          <cell r="P25">
            <v>0.764621</v>
          </cell>
        </row>
        <row r="26">
          <cell r="C26" t="str">
            <v>LOAN-3394</v>
          </cell>
          <cell r="O26">
            <v>125000</v>
          </cell>
          <cell r="P26">
            <v>1.1817500000000001</v>
          </cell>
        </row>
        <row r="27">
          <cell r="C27" t="str">
            <v>LOAN-3385</v>
          </cell>
          <cell r="O27">
            <v>150000</v>
          </cell>
          <cell r="P27">
            <v>0.97597599999999995</v>
          </cell>
        </row>
        <row r="28">
          <cell r="C28" t="str">
            <v>LOAN-3375</v>
          </cell>
          <cell r="O28">
            <v>150000</v>
          </cell>
          <cell r="P28">
            <v>0.97571099999999999</v>
          </cell>
        </row>
        <row r="29">
          <cell r="C29" t="str">
            <v>LOAN-3397</v>
          </cell>
          <cell r="O29">
            <v>200000</v>
          </cell>
          <cell r="P29">
            <v>0.73094800000000004</v>
          </cell>
        </row>
        <row r="30">
          <cell r="C30" t="str">
            <v>LOAN-3383</v>
          </cell>
          <cell r="O30">
            <v>150000</v>
          </cell>
          <cell r="P30">
            <v>0.97159899999999999</v>
          </cell>
        </row>
        <row r="31">
          <cell r="C31" t="str">
            <v>LOAN-3378</v>
          </cell>
          <cell r="O31">
            <v>150000</v>
          </cell>
          <cell r="P31">
            <v>0.97000799999999998</v>
          </cell>
        </row>
        <row r="32">
          <cell r="C32" t="str">
            <v>LOAN-3367</v>
          </cell>
          <cell r="O32">
            <v>125000</v>
          </cell>
          <cell r="P32">
            <v>1.160652</v>
          </cell>
        </row>
        <row r="33">
          <cell r="C33" t="str">
            <v>LOAN-3452</v>
          </cell>
          <cell r="O33">
            <v>125000</v>
          </cell>
          <cell r="P33">
            <v>1.1524509999999999</v>
          </cell>
        </row>
        <row r="34">
          <cell r="C34" t="str">
            <v>LOAN-3412</v>
          </cell>
          <cell r="O34">
            <v>200000</v>
          </cell>
          <cell r="P34">
            <v>0.71580299999999997</v>
          </cell>
        </row>
        <row r="35">
          <cell r="C35" t="str">
            <v>LOAN-3407</v>
          </cell>
          <cell r="O35">
            <v>125000</v>
          </cell>
          <cell r="P35">
            <v>1.114028</v>
          </cell>
        </row>
        <row r="36">
          <cell r="C36" t="str">
            <v>LOAN-3447</v>
          </cell>
          <cell r="O36">
            <v>200000</v>
          </cell>
          <cell r="P36">
            <v>0.68981199999999998</v>
          </cell>
        </row>
        <row r="37">
          <cell r="C37" t="str">
            <v>LOAN-3437</v>
          </cell>
          <cell r="O37">
            <v>200000</v>
          </cell>
          <cell r="P37">
            <v>0.687079</v>
          </cell>
        </row>
        <row r="38">
          <cell r="C38" t="str">
            <v>LOAN-3368</v>
          </cell>
          <cell r="O38">
            <v>125000</v>
          </cell>
          <cell r="P38">
            <v>1.0829629999999999</v>
          </cell>
        </row>
        <row r="39">
          <cell r="C39" t="str">
            <v>LOAN-3442</v>
          </cell>
          <cell r="O39">
            <v>125000</v>
          </cell>
          <cell r="P39">
            <v>1.0825100000000001</v>
          </cell>
        </row>
        <row r="40">
          <cell r="C40" t="str">
            <v>LOAN-3453</v>
          </cell>
          <cell r="O40">
            <v>150000</v>
          </cell>
          <cell r="P40">
            <v>0.88822299999999998</v>
          </cell>
        </row>
        <row r="41">
          <cell r="C41" t="str">
            <v>LOAN-3441</v>
          </cell>
          <cell r="O41">
            <v>200000</v>
          </cell>
          <cell r="P41">
            <v>0.66177299999999994</v>
          </cell>
        </row>
        <row r="42">
          <cell r="C42" t="str">
            <v>LOAN-3430</v>
          </cell>
          <cell r="O42">
            <v>125000</v>
          </cell>
          <cell r="P42">
            <v>1.0539339999999999</v>
          </cell>
        </row>
        <row r="43">
          <cell r="C43" t="str">
            <v>LOAN-3423</v>
          </cell>
          <cell r="O43">
            <v>150000</v>
          </cell>
          <cell r="P43">
            <v>0.86237900000000001</v>
          </cell>
        </row>
        <row r="44">
          <cell r="C44" t="str">
            <v>LOAN-3454</v>
          </cell>
          <cell r="O44">
            <v>100000</v>
          </cell>
          <cell r="P44">
            <v>1.191452</v>
          </cell>
        </row>
        <row r="45">
          <cell r="C45" t="str">
            <v>LOAN-3400</v>
          </cell>
          <cell r="O45">
            <v>150000</v>
          </cell>
          <cell r="P45">
            <v>0.78137800000000002</v>
          </cell>
        </row>
        <row r="46">
          <cell r="C46" t="str">
            <v>LOAN-3370</v>
          </cell>
          <cell r="O46">
            <v>100000</v>
          </cell>
          <cell r="P46">
            <v>1.162649</v>
          </cell>
        </row>
        <row r="47">
          <cell r="C47" t="str">
            <v>LOAN-3455</v>
          </cell>
          <cell r="O47">
            <v>150000</v>
          </cell>
          <cell r="P47">
            <v>0.76066900000000004</v>
          </cell>
        </row>
        <row r="48">
          <cell r="C48" t="str">
            <v>LOAN-3433</v>
          </cell>
          <cell r="O48">
            <v>100000</v>
          </cell>
          <cell r="P48">
            <v>1.133669</v>
          </cell>
        </row>
        <row r="49">
          <cell r="C49" t="str">
            <v>LOAN-3371</v>
          </cell>
          <cell r="O49">
            <v>150000</v>
          </cell>
          <cell r="P49">
            <v>0.74809999999999999</v>
          </cell>
        </row>
        <row r="50">
          <cell r="C50" t="str">
            <v>LOAN-3403</v>
          </cell>
          <cell r="O50">
            <v>150000</v>
          </cell>
          <cell r="P50">
            <v>0.73750800000000005</v>
          </cell>
        </row>
        <row r="51">
          <cell r="C51" t="str">
            <v>LOAN-3422</v>
          </cell>
          <cell r="O51">
            <v>100000</v>
          </cell>
          <cell r="P51">
            <v>1.101423</v>
          </cell>
        </row>
        <row r="52">
          <cell r="C52" t="str">
            <v>LOAN-3415</v>
          </cell>
          <cell r="O52">
            <v>150000</v>
          </cell>
          <cell r="P52">
            <v>0.720638</v>
          </cell>
        </row>
        <row r="53">
          <cell r="C53" t="str">
            <v>LOAN-3388</v>
          </cell>
          <cell r="O53">
            <v>100000</v>
          </cell>
          <cell r="P53">
            <v>1.076252</v>
          </cell>
        </row>
        <row r="54">
          <cell r="C54" t="str">
            <v>LOAN-3431</v>
          </cell>
          <cell r="O54">
            <v>100000</v>
          </cell>
          <cell r="P54">
            <v>1.076211</v>
          </cell>
        </row>
        <row r="55">
          <cell r="C55" t="str">
            <v>LOAN-3372</v>
          </cell>
          <cell r="O55">
            <v>100000</v>
          </cell>
          <cell r="P55">
            <v>1.0697239999999999</v>
          </cell>
        </row>
        <row r="56">
          <cell r="C56" t="str">
            <v>LOAN-3443</v>
          </cell>
          <cell r="O56">
            <v>150000</v>
          </cell>
          <cell r="P56">
            <v>0.69632899999999998</v>
          </cell>
        </row>
        <row r="57">
          <cell r="C57" t="str">
            <v>LOAN-3438</v>
          </cell>
          <cell r="O57">
            <v>100000</v>
          </cell>
          <cell r="P57">
            <v>1.0283629999999999</v>
          </cell>
        </row>
        <row r="58">
          <cell r="C58" t="str">
            <v>LOAN-3424</v>
          </cell>
          <cell r="O58">
            <v>100000</v>
          </cell>
          <cell r="P58">
            <v>1.0207729999999999</v>
          </cell>
        </row>
        <row r="59">
          <cell r="C59" t="str">
            <v>LOAN-3408</v>
          </cell>
          <cell r="O59">
            <v>100000</v>
          </cell>
          <cell r="P59">
            <v>1.0171539999999999</v>
          </cell>
        </row>
        <row r="60">
          <cell r="C60" t="str">
            <v>LOAN-3377</v>
          </cell>
          <cell r="O60">
            <v>100000</v>
          </cell>
          <cell r="P60">
            <v>1.0018119999999999</v>
          </cell>
        </row>
        <row r="61">
          <cell r="C61" t="str">
            <v>LOAN-3418</v>
          </cell>
          <cell r="O61">
            <v>100000</v>
          </cell>
          <cell r="P61">
            <v>0.99448800000000004</v>
          </cell>
        </row>
        <row r="62">
          <cell r="C62" t="str">
            <v>LOAN-3360</v>
          </cell>
          <cell r="O62">
            <v>150000</v>
          </cell>
          <cell r="P62">
            <v>0.64292899999999997</v>
          </cell>
        </row>
        <row r="63">
          <cell r="C63" t="str">
            <v>LOAN-3444</v>
          </cell>
          <cell r="O63">
            <v>100000</v>
          </cell>
          <cell r="P63">
            <v>0.96117699999999995</v>
          </cell>
        </row>
        <row r="64">
          <cell r="C64" t="str">
            <v>LOAN-3364</v>
          </cell>
          <cell r="O64">
            <v>125000</v>
          </cell>
          <cell r="P64">
            <v>0.76407199999999997</v>
          </cell>
        </row>
        <row r="65">
          <cell r="C65" t="str">
            <v>LOAN-3374</v>
          </cell>
          <cell r="O65">
            <v>125000</v>
          </cell>
          <cell r="P65">
            <v>0.75900400000000001</v>
          </cell>
        </row>
        <row r="66">
          <cell r="C66" t="str">
            <v>LOAN-3435</v>
          </cell>
          <cell r="O66">
            <v>125000</v>
          </cell>
          <cell r="P66">
            <v>0.75197000000000003</v>
          </cell>
        </row>
        <row r="67">
          <cell r="C67" t="str">
            <v>LOAN-3363</v>
          </cell>
          <cell r="O67">
            <v>100000</v>
          </cell>
          <cell r="P67">
            <v>0.94068499999999999</v>
          </cell>
        </row>
        <row r="68">
          <cell r="C68" t="str">
            <v>LOAN-3359</v>
          </cell>
          <cell r="O68">
            <v>100000</v>
          </cell>
          <cell r="P68">
            <v>0.91620000000000001</v>
          </cell>
        </row>
        <row r="69">
          <cell r="C69" t="str">
            <v>LOAN-3390</v>
          </cell>
          <cell r="O69">
            <v>100000</v>
          </cell>
          <cell r="P69">
            <v>0.90542999999999996</v>
          </cell>
        </row>
        <row r="70">
          <cell r="C70" t="str">
            <v>LOAN-3395</v>
          </cell>
          <cell r="O70">
            <v>75000</v>
          </cell>
          <cell r="P70">
            <v>1.1940090000000001</v>
          </cell>
        </row>
        <row r="71">
          <cell r="C71" t="str">
            <v>LOAN-3427</v>
          </cell>
          <cell r="O71">
            <v>75000</v>
          </cell>
          <cell r="P71">
            <v>1.1711640000000001</v>
          </cell>
        </row>
        <row r="72">
          <cell r="C72" t="str">
            <v>LOAN-3381</v>
          </cell>
          <cell r="O72">
            <v>125000</v>
          </cell>
          <cell r="P72">
            <v>0.69300200000000001</v>
          </cell>
        </row>
        <row r="73">
          <cell r="C73" t="str">
            <v>LOAN-3409</v>
          </cell>
          <cell r="O73">
            <v>100000</v>
          </cell>
          <cell r="P73">
            <v>0.85933499999999996</v>
          </cell>
        </row>
        <row r="74">
          <cell r="C74" t="str">
            <v>LOAN-3401</v>
          </cell>
          <cell r="O74">
            <v>75000</v>
          </cell>
          <cell r="P74">
            <v>1.1171089999999999</v>
          </cell>
        </row>
        <row r="75">
          <cell r="C75" t="str">
            <v>LOAN-3416</v>
          </cell>
          <cell r="O75">
            <v>75000</v>
          </cell>
          <cell r="P75">
            <v>1.0995820000000001</v>
          </cell>
        </row>
        <row r="76">
          <cell r="C76" t="str">
            <v>LOAN-3380</v>
          </cell>
          <cell r="O76">
            <v>100000</v>
          </cell>
          <cell r="P76">
            <v>0.80426799999999998</v>
          </cell>
        </row>
        <row r="77">
          <cell r="C77" t="str">
            <v>LOAN-3369</v>
          </cell>
          <cell r="O77">
            <v>75000</v>
          </cell>
          <cell r="P77">
            <v>1.03694</v>
          </cell>
        </row>
        <row r="78">
          <cell r="C78" t="str">
            <v>LOAN-3419</v>
          </cell>
          <cell r="O78">
            <v>100000</v>
          </cell>
          <cell r="P78">
            <v>0.76900100000000005</v>
          </cell>
        </row>
        <row r="79">
          <cell r="C79" t="str">
            <v>LOAN-3410</v>
          </cell>
          <cell r="O79">
            <v>100000</v>
          </cell>
          <cell r="P79">
            <v>0.76418299999999995</v>
          </cell>
        </row>
        <row r="80">
          <cell r="C80" t="str">
            <v>LOAN-3411</v>
          </cell>
          <cell r="O80">
            <v>100000</v>
          </cell>
          <cell r="P80">
            <v>0.76215100000000002</v>
          </cell>
        </row>
        <row r="81">
          <cell r="C81" t="str">
            <v>LOAN-3393</v>
          </cell>
          <cell r="O81">
            <v>75000</v>
          </cell>
          <cell r="P81">
            <v>0.98781699999999995</v>
          </cell>
        </row>
        <row r="82">
          <cell r="C82" t="str">
            <v>LOAN-3396</v>
          </cell>
          <cell r="O82">
            <v>75000</v>
          </cell>
          <cell r="P82">
            <v>0.96483200000000002</v>
          </cell>
        </row>
        <row r="83">
          <cell r="C83" t="str">
            <v>LOAN-3428</v>
          </cell>
          <cell r="O83">
            <v>75000</v>
          </cell>
          <cell r="P83">
            <v>0.96081799999999995</v>
          </cell>
        </row>
        <row r="84">
          <cell r="C84" t="str">
            <v>LOAN-3406</v>
          </cell>
          <cell r="O84">
            <v>100000</v>
          </cell>
          <cell r="P84">
            <v>0.69843200000000005</v>
          </cell>
        </row>
        <row r="85">
          <cell r="C85" t="str">
            <v>LOAN-3448</v>
          </cell>
          <cell r="O85">
            <v>75000</v>
          </cell>
          <cell r="P85">
            <v>0.88666699999999998</v>
          </cell>
        </row>
        <row r="86">
          <cell r="C86" t="str">
            <v>LOAN-3405</v>
          </cell>
          <cell r="O86">
            <v>75000</v>
          </cell>
          <cell r="P86">
            <v>0.79991999999999996</v>
          </cell>
        </row>
        <row r="87">
          <cell r="C87" t="str">
            <v>LOAN-3432</v>
          </cell>
          <cell r="O87">
            <v>75000</v>
          </cell>
          <cell r="P87">
            <v>0.79120599999999996</v>
          </cell>
        </row>
        <row r="88">
          <cell r="C88" t="str">
            <v>LOAN-3392</v>
          </cell>
          <cell r="O88">
            <v>50000</v>
          </cell>
          <cell r="P88">
            <v>1.1400680000000001</v>
          </cell>
        </row>
        <row r="89">
          <cell r="C89" t="str">
            <v>LOAN-3434</v>
          </cell>
          <cell r="O89">
            <v>50000</v>
          </cell>
          <cell r="P89">
            <v>1.105305</v>
          </cell>
        </row>
        <row r="90">
          <cell r="C90" t="str">
            <v>LOAN-3425</v>
          </cell>
          <cell r="O90">
            <v>75000</v>
          </cell>
          <cell r="P90">
            <v>0.72811999999999999</v>
          </cell>
        </row>
        <row r="91">
          <cell r="C91" t="str">
            <v>LOAN-3373</v>
          </cell>
          <cell r="O91">
            <v>75000</v>
          </cell>
          <cell r="P91">
            <v>0.72167999999999999</v>
          </cell>
        </row>
        <row r="92">
          <cell r="C92" t="str">
            <v>LOAN-3426</v>
          </cell>
          <cell r="O92">
            <v>50000</v>
          </cell>
          <cell r="P92">
            <v>1.035228</v>
          </cell>
        </row>
        <row r="93">
          <cell r="C93" t="str">
            <v>LOAN-3413</v>
          </cell>
          <cell r="O93">
            <v>50000</v>
          </cell>
          <cell r="P93">
            <v>0.95991499999999996</v>
          </cell>
        </row>
        <row r="94">
          <cell r="C94" t="str">
            <v>LOAN-3402</v>
          </cell>
          <cell r="O94">
            <v>75000</v>
          </cell>
          <cell r="P94">
            <v>0.63723399999999997</v>
          </cell>
        </row>
        <row r="95">
          <cell r="C95" t="str">
            <v>LOAN-3366</v>
          </cell>
          <cell r="O95">
            <v>75000</v>
          </cell>
          <cell r="P95">
            <v>0.61944900000000003</v>
          </cell>
        </row>
        <row r="96">
          <cell r="C96" t="str">
            <v>LOAN-3451</v>
          </cell>
          <cell r="O96">
            <v>50000</v>
          </cell>
          <cell r="P96">
            <v>0.91857999999999995</v>
          </cell>
        </row>
        <row r="97">
          <cell r="C97" t="str">
            <v>LOAN-3456</v>
          </cell>
          <cell r="O97">
            <v>50000</v>
          </cell>
          <cell r="P97">
            <v>0.89743499999999998</v>
          </cell>
        </row>
        <row r="98">
          <cell r="C98" t="str">
            <v>LOAN-3446</v>
          </cell>
          <cell r="O98">
            <v>50000</v>
          </cell>
          <cell r="P98">
            <v>0.88524400000000003</v>
          </cell>
        </row>
        <row r="99">
          <cell r="C99" t="str">
            <v>LOAN-3439</v>
          </cell>
          <cell r="O99">
            <v>50000</v>
          </cell>
          <cell r="P99">
            <v>0.87897199999999998</v>
          </cell>
        </row>
        <row r="100">
          <cell r="C100" t="str">
            <v>LOAN-3436</v>
          </cell>
          <cell r="O100">
            <v>50000</v>
          </cell>
          <cell r="P100">
            <v>0.87493600000000005</v>
          </cell>
        </row>
        <row r="101">
          <cell r="C101" t="str">
            <v>LOAN-3458</v>
          </cell>
          <cell r="O101">
            <v>50000</v>
          </cell>
          <cell r="P101">
            <v>0.848881</v>
          </cell>
        </row>
        <row r="102">
          <cell r="C102" t="str">
            <v>LOAN-3376</v>
          </cell>
          <cell r="O102">
            <v>50000</v>
          </cell>
          <cell r="P102">
            <v>0.79377600000000004</v>
          </cell>
        </row>
        <row r="103">
          <cell r="C103" t="str">
            <v>LOAN-3382</v>
          </cell>
          <cell r="O103">
            <v>50000</v>
          </cell>
          <cell r="P103">
            <v>0.78778999999999999</v>
          </cell>
        </row>
        <row r="104">
          <cell r="C104" t="str">
            <v>LOAN-3389</v>
          </cell>
          <cell r="O104">
            <v>50000</v>
          </cell>
          <cell r="P104">
            <v>0.76381100000000002</v>
          </cell>
        </row>
        <row r="105">
          <cell r="C105" t="str">
            <v>LOAN-3414</v>
          </cell>
          <cell r="O105">
            <v>50000</v>
          </cell>
          <cell r="P105">
            <v>0.72857099999999997</v>
          </cell>
        </row>
        <row r="106">
          <cell r="C106" t="str">
            <v>LOAN-3429</v>
          </cell>
          <cell r="O106">
            <v>50000</v>
          </cell>
          <cell r="P106">
            <v>0.65841400000000005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1CBF-E5A1-4E9A-9E21-48C6CB079312}">
  <dimension ref="A1:S6"/>
  <sheetViews>
    <sheetView tabSelected="1" workbookViewId="0">
      <selection activeCell="E10" sqref="E10"/>
    </sheetView>
  </sheetViews>
  <sheetFormatPr defaultRowHeight="14.5" x14ac:dyDescent="0.35"/>
  <cols>
    <col min="3" max="3" width="21.26953125" bestFit="1" customWidth="1"/>
    <col min="4" max="4" width="9.453125" bestFit="1" customWidth="1"/>
    <col min="5" max="5" width="18.26953125" customWidth="1"/>
    <col min="10" max="11" width="9.453125" bestFit="1" customWidth="1"/>
    <col min="12" max="12" width="15.81640625" customWidth="1"/>
    <col min="16" max="16" width="11.08984375" bestFit="1" customWidth="1"/>
    <col min="19" max="19" width="13.26953125" bestFit="1" customWidth="1"/>
  </cols>
  <sheetData>
    <row r="1" spans="1:19" s="2" customFormat="1" x14ac:dyDescent="0.35">
      <c r="A1" s="2" t="s">
        <v>39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35">
      <c r="A2">
        <v>1</v>
      </c>
      <c r="B2">
        <v>1633001</v>
      </c>
      <c r="C2" t="s">
        <v>18</v>
      </c>
      <c r="D2" s="1">
        <v>45838</v>
      </c>
      <c r="E2" t="s">
        <v>19</v>
      </c>
      <c r="F2" t="s">
        <v>20</v>
      </c>
      <c r="G2" t="s">
        <v>21</v>
      </c>
      <c r="H2">
        <v>9972829</v>
      </c>
      <c r="I2">
        <v>91620</v>
      </c>
      <c r="J2" s="1">
        <v>45762</v>
      </c>
      <c r="K2" s="1">
        <v>45845</v>
      </c>
      <c r="L2" t="s">
        <v>22</v>
      </c>
      <c r="M2">
        <v>0.91620000000000001</v>
      </c>
      <c r="N2">
        <v>1</v>
      </c>
      <c r="O2">
        <v>100000</v>
      </c>
      <c r="P2" s="3">
        <v>91620</v>
      </c>
      <c r="Q2" t="s">
        <v>23</v>
      </c>
      <c r="R2">
        <v>1064</v>
      </c>
      <c r="S2" t="s">
        <v>24</v>
      </c>
    </row>
    <row r="3" spans="1:19" x14ac:dyDescent="0.35">
      <c r="A3">
        <v>2</v>
      </c>
      <c r="B3">
        <v>1966810</v>
      </c>
      <c r="C3" t="s">
        <v>27</v>
      </c>
      <c r="D3" s="1">
        <v>45838</v>
      </c>
      <c r="E3" t="s">
        <v>26</v>
      </c>
      <c r="F3" t="s">
        <v>20</v>
      </c>
      <c r="G3" t="s">
        <v>28</v>
      </c>
      <c r="H3">
        <v>9972723</v>
      </c>
      <c r="I3">
        <v>224964.4</v>
      </c>
      <c r="J3" s="1">
        <v>45761</v>
      </c>
      <c r="K3" s="1">
        <v>45907</v>
      </c>
      <c r="L3" t="s">
        <v>35</v>
      </c>
      <c r="M3">
        <f>_xlfn.XLOOKUP(E3,'[1]Loan Activity Report'!$C$6:$C$106,'[1]Loan Activity Report'!$P$6:$P$106)</f>
        <v>1.124822</v>
      </c>
      <c r="N3">
        <v>1</v>
      </c>
      <c r="O3">
        <f>_xlfn.XLOOKUP(E3,'[1]Loan Activity Report'!$C$6:$C$106,'[1]Loan Activity Report'!$O$6:$O$106)</f>
        <v>200000</v>
      </c>
      <c r="P3" s="3">
        <v>224964.4</v>
      </c>
      <c r="Q3" t="s">
        <v>23</v>
      </c>
      <c r="R3">
        <v>1052</v>
      </c>
      <c r="S3" t="s">
        <v>27</v>
      </c>
    </row>
    <row r="4" spans="1:19" x14ac:dyDescent="0.35">
      <c r="A4">
        <v>3</v>
      </c>
      <c r="B4">
        <v>1368999</v>
      </c>
      <c r="C4" t="s">
        <v>32</v>
      </c>
      <c r="D4" s="1">
        <v>45838</v>
      </c>
      <c r="E4" t="s">
        <v>29</v>
      </c>
      <c r="F4" t="s">
        <v>20</v>
      </c>
      <c r="H4">
        <v>9972762</v>
      </c>
      <c r="I4">
        <v>94068.5</v>
      </c>
      <c r="J4" s="1">
        <v>45792</v>
      </c>
      <c r="K4" s="1">
        <v>45881</v>
      </c>
      <c r="L4" t="s">
        <v>36</v>
      </c>
      <c r="M4">
        <f>_xlfn.XLOOKUP(E4,'[1]Loan Activity Report'!$C$6:$C$106,'[1]Loan Activity Report'!$P$6:$P$106)</f>
        <v>0.94068499999999999</v>
      </c>
      <c r="N4">
        <v>1</v>
      </c>
      <c r="O4">
        <f>_xlfn.XLOOKUP(E4,'[1]Loan Activity Report'!$C$6:$C$106,'[1]Loan Activity Report'!$O$6:$O$106)</f>
        <v>100000</v>
      </c>
      <c r="P4" s="3">
        <v>94068.5</v>
      </c>
      <c r="Q4" t="s">
        <v>23</v>
      </c>
      <c r="R4">
        <v>2368</v>
      </c>
      <c r="S4" t="s">
        <v>32</v>
      </c>
    </row>
    <row r="5" spans="1:19" x14ac:dyDescent="0.35">
      <c r="A5">
        <v>4</v>
      </c>
      <c r="B5">
        <v>9846789</v>
      </c>
      <c r="C5" t="s">
        <v>33</v>
      </c>
      <c r="D5" s="1">
        <v>45838</v>
      </c>
      <c r="E5" t="s">
        <v>30</v>
      </c>
      <c r="F5" t="s">
        <v>20</v>
      </c>
      <c r="H5">
        <v>9972729</v>
      </c>
      <c r="I5">
        <v>95509</v>
      </c>
      <c r="J5" s="1">
        <v>45823</v>
      </c>
      <c r="K5" s="1">
        <v>45845</v>
      </c>
      <c r="L5" t="s">
        <v>37</v>
      </c>
      <c r="M5">
        <f>_xlfn.XLOOKUP(E5,'[1]Loan Activity Report'!$C$6:$C$106,'[1]Loan Activity Report'!$P$6:$P$106)</f>
        <v>0.76407199999999997</v>
      </c>
      <c r="N5">
        <v>1</v>
      </c>
      <c r="O5">
        <f>_xlfn.XLOOKUP(E5,'[1]Loan Activity Report'!$C$6:$C$106,'[1]Loan Activity Report'!$O$6:$O$106)</f>
        <v>125000</v>
      </c>
      <c r="P5" s="3">
        <v>95509</v>
      </c>
      <c r="Q5" t="s">
        <v>23</v>
      </c>
      <c r="R5">
        <v>8790</v>
      </c>
      <c r="S5" t="s">
        <v>33</v>
      </c>
    </row>
    <row r="6" spans="1:19" x14ac:dyDescent="0.35">
      <c r="A6">
        <v>5</v>
      </c>
      <c r="B6">
        <v>1357889</v>
      </c>
      <c r="C6" t="s">
        <v>34</v>
      </c>
      <c r="D6" s="1">
        <v>45838</v>
      </c>
      <c r="E6" t="s">
        <v>31</v>
      </c>
      <c r="F6" t="s">
        <v>20</v>
      </c>
      <c r="H6">
        <v>9977723</v>
      </c>
      <c r="I6">
        <v>173361</v>
      </c>
      <c r="J6" s="1">
        <v>45769</v>
      </c>
      <c r="K6" s="1">
        <v>45908</v>
      </c>
      <c r="L6" t="s">
        <v>38</v>
      </c>
      <c r="M6">
        <f>_xlfn.XLOOKUP(E6,'[1]Loan Activity Report'!$C$6:$C$106,'[1]Loan Activity Report'!$P$6:$P$106)</f>
        <v>0.86680500000000005</v>
      </c>
      <c r="N6">
        <v>1</v>
      </c>
      <c r="O6">
        <f>_xlfn.XLOOKUP(E6,'[1]Loan Activity Report'!$C$6:$C$106,'[1]Loan Activity Report'!$O$6:$O$106)</f>
        <v>200000</v>
      </c>
      <c r="P6" s="3">
        <v>173361</v>
      </c>
      <c r="Q6" t="s">
        <v>23</v>
      </c>
      <c r="R6">
        <v>9873</v>
      </c>
      <c r="S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A218-001C-4098-B945-AE6E947AAE3A}">
  <dimension ref="A2:A5"/>
  <sheetViews>
    <sheetView workbookViewId="0">
      <selection activeCell="A5" sqref="A5"/>
    </sheetView>
  </sheetViews>
  <sheetFormatPr defaultRowHeight="14.5" x14ac:dyDescent="0.35"/>
  <sheetData>
    <row r="2" spans="1:1" x14ac:dyDescent="0.35">
      <c r="A2" t="s">
        <v>25</v>
      </c>
    </row>
    <row r="4" spans="1:1" x14ac:dyDescent="0.35">
      <c r="A4" t="s">
        <v>2</v>
      </c>
    </row>
    <row r="5" spans="1:1" x14ac:dyDescent="0.35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Summary</vt:lpstr>
      <vt:lpstr>Attributes to test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Ladislau, Giovanna</dc:creator>
  <cp:lastModifiedBy>Ladislau, Giovanna</cp:lastModifiedBy>
  <dcterms:created xsi:type="dcterms:W3CDTF">2026-03-10T21:57:13Z</dcterms:created>
  <dcterms:modified xsi:type="dcterms:W3CDTF">2026-03-24T13:52:39Z</dcterms:modified>
</cp:coreProperties>
</file>